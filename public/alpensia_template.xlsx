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초이스골프(공유폴더)\26년도 알펜시아\"/>
    </mc:Choice>
  </mc:AlternateContent>
  <xr:revisionPtr revIDLastSave="0" documentId="13_ncr:1_{4DCEBE16-9AAC-4B8C-B4B2-DA406CABFC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예약신청서" sheetId="2" r:id="rId1"/>
  </sheets>
  <definedNames>
    <definedName name="_xlnm.Print_Area" localSheetId="0">예약신청서!$A$1:$K$45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0" i="2" l="1"/>
  <c r="K11" i="2"/>
  <c r="K12" i="2"/>
  <c r="J22" i="2"/>
  <c r="J21" i="2"/>
  <c r="K13" i="2"/>
  <c r="K14" i="2"/>
  <c r="J15" i="2" l="1"/>
  <c r="J23" i="2"/>
  <c r="J26" i="2" l="1"/>
</calcChain>
</file>

<file path=xl/sharedStrings.xml><?xml version="1.0" encoding="utf-8"?>
<sst xmlns="http://schemas.openxmlformats.org/spreadsheetml/2006/main" count="77" uniqueCount="70">
  <si>
    <t xml:space="preserve">Alpensia Resort </t>
    <phoneticPr fontId="9" type="noConversion"/>
  </si>
  <si>
    <t>여행사명</t>
    <phoneticPr fontId="2" type="noConversion"/>
  </si>
  <si>
    <t>담당자</t>
    <phoneticPr fontId="2" type="noConversion"/>
  </si>
  <si>
    <t>예약자명</t>
    <phoneticPr fontId="2" type="noConversion"/>
  </si>
  <si>
    <t>신청일</t>
    <phoneticPr fontId="2" type="noConversion"/>
  </si>
  <si>
    <t>날짜</t>
    <phoneticPr fontId="2" type="noConversion"/>
  </si>
  <si>
    <t>요일</t>
    <phoneticPr fontId="2" type="noConversion"/>
  </si>
  <si>
    <t>인원</t>
    <phoneticPr fontId="2" type="noConversion"/>
  </si>
  <si>
    <t>확정시간</t>
    <phoneticPr fontId="2" type="noConversion"/>
  </si>
  <si>
    <t>FAX</t>
    <phoneticPr fontId="2" type="noConversion"/>
  </si>
  <si>
    <t>객실 수</t>
    <phoneticPr fontId="2" type="noConversion"/>
  </si>
  <si>
    <t>객 실 예 약</t>
    <phoneticPr fontId="2" type="noConversion"/>
  </si>
  <si>
    <t>골 프 예 약</t>
    <phoneticPr fontId="2" type="noConversion"/>
  </si>
  <si>
    <t>예약자 H.P</t>
    <phoneticPr fontId="2" type="noConversion"/>
  </si>
  <si>
    <t>합계</t>
    <phoneticPr fontId="2" type="noConversion"/>
  </si>
  <si>
    <t>월</t>
    <phoneticPr fontId="2" type="noConversion"/>
  </si>
  <si>
    <r>
      <t xml:space="preserve">평형 or
</t>
    </r>
    <r>
      <rPr>
        <b/>
        <sz val="8"/>
        <color theme="1"/>
        <rFont val="맑은 고딕"/>
        <family val="3"/>
        <charset val="129"/>
        <scheme val="minor"/>
      </rPr>
      <t>(트윈/더블)</t>
    </r>
    <phoneticPr fontId="2" type="noConversion"/>
  </si>
  <si>
    <t>홀딩시간</t>
    <phoneticPr fontId="2" type="noConversion"/>
  </si>
  <si>
    <t>팀수</t>
    <phoneticPr fontId="2" type="noConversion"/>
  </si>
  <si>
    <t>일</t>
    <phoneticPr fontId="2" type="noConversion"/>
  </si>
  <si>
    <r>
      <t xml:space="preserve">취 소 규 정 </t>
    </r>
    <r>
      <rPr>
        <b/>
        <sz val="12"/>
        <color theme="1"/>
        <rFont val="맑은 고딕"/>
        <family val="3"/>
        <charset val="129"/>
        <scheme val="minor"/>
      </rPr>
      <t>(3팀부터 단체규정으로 진행합니다.)</t>
    </r>
    <phoneticPr fontId="2" type="noConversion"/>
  </si>
  <si>
    <t>객 실 총 금 액</t>
    <phoneticPr fontId="2" type="noConversion"/>
  </si>
  <si>
    <t>요금</t>
    <phoneticPr fontId="2" type="noConversion"/>
  </si>
  <si>
    <t>합계</t>
    <phoneticPr fontId="2" type="noConversion"/>
  </si>
  <si>
    <t>총 합 계(그린피 + 조식 + 객실)</t>
    <phoneticPr fontId="2" type="noConversion"/>
  </si>
  <si>
    <t>골 프 총 금 액(그린피 +조식) 1팀/4인그린피 적용</t>
    <phoneticPr fontId="2" type="noConversion"/>
  </si>
  <si>
    <t>특이사항</t>
    <phoneticPr fontId="2" type="noConversion"/>
  </si>
  <si>
    <r>
      <t xml:space="preserve">숙소
</t>
    </r>
    <r>
      <rPr>
        <b/>
        <sz val="9"/>
        <color theme="1"/>
        <rFont val="맑은 고딕"/>
        <family val="3"/>
        <charset val="129"/>
        <scheme val="minor"/>
      </rPr>
      <t>(콘도/호텔/인터)</t>
    </r>
    <phoneticPr fontId="2" type="noConversion"/>
  </si>
  <si>
    <t xml:space="preserve"> 1. 개인정보 수집 및 이용목적 회원 본인확인 및 안내문자 발송</t>
    <phoneticPr fontId="2" type="noConversion"/>
  </si>
  <si>
    <t xml:space="preserve"> 3. 개인정보의 보유 및 이용기간 원칙적으로 개인정보의 수집 또는 제공받은 목정달성 시 파기</t>
    <phoneticPr fontId="2" type="noConversion"/>
  </si>
  <si>
    <r>
      <t xml:space="preserve">동의  </t>
    </r>
    <r>
      <rPr>
        <sz val="6"/>
        <color theme="1"/>
        <rFont val="돋움"/>
        <family val="3"/>
        <charset val="129"/>
      </rPr>
      <t>■</t>
    </r>
    <r>
      <rPr>
        <sz val="6"/>
        <color theme="1"/>
        <rFont val="맑은 고딕"/>
        <family val="2"/>
        <charset val="129"/>
      </rPr>
      <t xml:space="preserve">  /   동의 안 함 </t>
    </r>
    <r>
      <rPr>
        <sz val="6"/>
        <color theme="1"/>
        <rFont val="돋움"/>
        <family val="3"/>
        <charset val="129"/>
      </rPr>
      <t>□</t>
    </r>
    <phoneticPr fontId="2" type="noConversion"/>
  </si>
  <si>
    <t>* 우천시 골프장 프론트에 취소처리 하셔야 위약금 없이 취소 가능</t>
    <phoneticPr fontId="2" type="noConversion"/>
  </si>
  <si>
    <t xml:space="preserve">* 객실은 골프텔이 아닌 관계로 우천시 자동취소가 불가능합니다. </t>
    <phoneticPr fontId="2" type="noConversion"/>
  </si>
  <si>
    <t>* 객실과 2일차 골프예약은 반드시 여행사에서 예약실로 취소바랍니다(객실 예약실 033 339 0000)</t>
    <phoneticPr fontId="2" type="noConversion"/>
  </si>
  <si>
    <t>구  분</t>
  </si>
  <si>
    <t>미내장(당일취소)</t>
  </si>
  <si>
    <t>1~4일전(16시이전)</t>
  </si>
  <si>
    <t>5~9일전(16시이전)</t>
  </si>
  <si>
    <t>10일전(16시이전)</t>
  </si>
  <si>
    <t>주  중</t>
  </si>
  <si>
    <t>그린피 100% 적용</t>
  </si>
  <si>
    <t>그린피 50% 적용</t>
  </si>
  <si>
    <t>150,000원(18홀기준)</t>
  </si>
  <si>
    <t>주  말/성수기</t>
  </si>
  <si>
    <t>200,000원(18홀기준)</t>
  </si>
  <si>
    <t xml:space="preserve">16시 이전 취소시 위약없음 
</t>
    <phoneticPr fontId="2" type="noConversion"/>
  </si>
  <si>
    <t>* 숙소 기재시 : 홀리데이인리조트호텔 -&gt; [호텔] / 인터컨티넨탈호텔 -&gt; [인터] / 홀리데이인스위트 콘도 -&gt; [콘도]</t>
    <phoneticPr fontId="2" type="noConversion"/>
  </si>
  <si>
    <r>
      <t xml:space="preserve">골프장
</t>
    </r>
    <r>
      <rPr>
        <b/>
        <sz val="8"/>
        <color theme="1"/>
        <rFont val="맑은 고딕"/>
        <family val="3"/>
        <charset val="129"/>
        <scheme val="minor"/>
      </rPr>
      <t>(700/알펜시아)</t>
    </r>
    <phoneticPr fontId="2" type="noConversion"/>
  </si>
  <si>
    <t>1인/
조식</t>
    <phoneticPr fontId="2" type="noConversion"/>
  </si>
  <si>
    <r>
      <t>그린피</t>
    </r>
    <r>
      <rPr>
        <b/>
        <sz val="9"/>
        <rFont val="맑은 고딕"/>
        <family val="3"/>
        <charset val="129"/>
        <scheme val="minor"/>
      </rPr>
      <t>(1인)</t>
    </r>
    <phoneticPr fontId="2" type="noConversion"/>
  </si>
  <si>
    <t>* 단체(3팀부터)는 21일 이내(16시 이후) 취소시 -&gt; 5~9일전 위약금 적용 
  (팀수조정은 2주 전까지 가능, 단 예약팀수의 20%까지만 가능)</t>
    <phoneticPr fontId="2" type="noConversion"/>
  </si>
  <si>
    <t>* 정보통신만 이용촉진 및 정보보호법 등에 관한법률 제 22조(개인정보 수집, 이용동의 등)에 의거하여 다음과 같이 개인정보를 수집합니다.</t>
    <phoneticPr fontId="2" type="noConversion"/>
  </si>
  <si>
    <t xml:space="preserve"> 2. 수집하는 개인정보의 항목 : 성명, 휴대폰번호</t>
    <phoneticPr fontId="2" type="noConversion"/>
  </si>
  <si>
    <t>* 주말, 공휴일은 취소 불가(위약적용은 주말, 공휴일 전일 기준으로 진행)</t>
    <phoneticPr fontId="2" type="noConversion"/>
  </si>
  <si>
    <t>수신 : 알펜시아 골프마케팅팀 (FAX 02 573 7376)</t>
    <phoneticPr fontId="2" type="noConversion"/>
  </si>
  <si>
    <t xml:space="preserve">   [골프 예약실 033 339 3300]</t>
    <phoneticPr fontId="2" type="noConversion"/>
  </si>
  <si>
    <t xml:space="preserve">  [프론트 대중제(700GC) / 회원제(알펜시아컨트리클럽) ]</t>
    <phoneticPr fontId="2" type="noConversion"/>
  </si>
  <si>
    <t>2026년 지정여행사 골프&amp;객실 신청서</t>
    <phoneticPr fontId="2" type="noConversion"/>
  </si>
  <si>
    <t>2026년</t>
    <phoneticPr fontId="2" type="noConversion"/>
  </si>
  <si>
    <t>* 오전 라운딩시 반드시 조식포함(회원제 : 1인/20,000원 - 커피포함), (대중제 : 1인/18,000원 - 커피포함)</t>
    <phoneticPr fontId="2" type="noConversion"/>
  </si>
  <si>
    <t>* 호텔 사용시 (트윈/ 더블) 기재요망</t>
    <phoneticPr fontId="2" type="noConversion"/>
  </si>
  <si>
    <t>초이스골프</t>
    <phoneticPr fontId="2" type="noConversion"/>
  </si>
  <si>
    <t>최진우</t>
    <phoneticPr fontId="2" type="noConversion"/>
  </si>
  <si>
    <t>02-545-9981</t>
    <phoneticPr fontId="2" type="noConversion"/>
  </si>
  <si>
    <t>김영곤</t>
    <phoneticPr fontId="2" type="noConversion"/>
  </si>
  <si>
    <t>010-2648-4432</t>
    <phoneticPr fontId="2" type="noConversion"/>
  </si>
  <si>
    <t>토</t>
    <phoneticPr fontId="2" type="noConversion"/>
  </si>
  <si>
    <t>알펜시아</t>
    <phoneticPr fontId="2" type="noConversion"/>
  </si>
  <si>
    <t>인터</t>
    <phoneticPr fontId="2" type="noConversion"/>
  </si>
  <si>
    <t>트윈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</si>
</sst>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m&quot;월&quot;\ dd&quot;일&quot;"/>
    <numFmt numFmtId="177" formatCode="#,##0_);[Red]\(#,##0\)"/>
  </numFmts>
  <fonts count="2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sz val="11"/>
      <name val="휴먼옛체"/>
      <family val="1"/>
      <charset val="129"/>
    </font>
    <font>
      <b/>
      <sz val="20"/>
      <name val="휴먼옛체"/>
      <family val="1"/>
      <charset val="129"/>
    </font>
    <font>
      <sz val="8"/>
      <name val="돋움"/>
      <family val="3"/>
      <charset val="129"/>
    </font>
    <font>
      <sz val="14"/>
      <name val="휴먼둥근헤드라인"/>
      <family val="1"/>
      <charset val="129"/>
    </font>
    <font>
      <b/>
      <sz val="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24"/>
      <name val="휴먼옛체"/>
      <family val="1"/>
      <charset val="129"/>
    </font>
    <font>
      <b/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b/>
      <sz val="6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6"/>
      <color theme="1"/>
      <name val="돋움"/>
      <family val="3"/>
      <charset val="129"/>
    </font>
    <font>
      <sz val="6"/>
      <color theme="1"/>
      <name val="맑은 고딕"/>
      <family val="2"/>
      <charset val="129"/>
    </font>
    <font>
      <sz val="8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2" borderId="0" xfId="0" applyFont="1" applyFill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3" borderId="9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5" xfId="0" applyFill="1" applyBorder="1">
      <alignment vertical="center"/>
    </xf>
    <xf numFmtId="0" fontId="14" fillId="0" borderId="0" xfId="0" applyFont="1">
      <alignment vertical="center"/>
    </xf>
    <xf numFmtId="0" fontId="0" fillId="0" borderId="8" xfId="0" applyBorder="1" applyAlignment="1">
      <alignment horizontal="center" vertical="center"/>
    </xf>
    <xf numFmtId="0" fontId="0" fillId="0" borderId="31" xfId="0" applyBorder="1" applyAlignment="1">
      <alignment horizontal="right" vertical="center"/>
    </xf>
    <xf numFmtId="0" fontId="0" fillId="0" borderId="33" xfId="0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20" fontId="5" fillId="0" borderId="4" xfId="0" applyNumberFormat="1" applyFont="1" applyBorder="1">
      <alignment vertical="center"/>
    </xf>
    <xf numFmtId="0" fontId="0" fillId="0" borderId="0" xfId="0" applyAlignment="1">
      <alignment horizontal="left" vertical="center"/>
    </xf>
    <xf numFmtId="0" fontId="18" fillId="3" borderId="0" xfId="0" applyFont="1" applyFill="1" applyAlignment="1">
      <alignment horizontal="center" vertical="center"/>
    </xf>
    <xf numFmtId="41" fontId="0" fillId="3" borderId="0" xfId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3" fillId="0" borderId="0" xfId="0" applyFont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7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 wrapText="1"/>
    </xf>
    <xf numFmtId="0" fontId="16" fillId="0" borderId="0" xfId="0" applyFont="1">
      <alignment vertical="center"/>
    </xf>
    <xf numFmtId="20" fontId="5" fillId="0" borderId="6" xfId="0" applyNumberFormat="1" applyFont="1" applyBorder="1">
      <alignment vertical="center"/>
    </xf>
    <xf numFmtId="176" fontId="0" fillId="0" borderId="9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15" fillId="3" borderId="0" xfId="0" applyFont="1" applyFill="1" applyAlignment="1">
      <alignment horizontal="center" vertical="center"/>
    </xf>
    <xf numFmtId="41" fontId="20" fillId="3" borderId="1" xfId="1" applyFont="1" applyFill="1" applyBorder="1" applyAlignment="1">
      <alignment vertical="center"/>
    </xf>
    <xf numFmtId="41" fontId="20" fillId="3" borderId="47" xfId="1" applyFont="1" applyFill="1" applyBorder="1" applyAlignment="1">
      <alignment vertical="center"/>
    </xf>
    <xf numFmtId="41" fontId="20" fillId="3" borderId="11" xfId="1" applyFont="1" applyFill="1" applyBorder="1" applyAlignment="1">
      <alignment vertical="center"/>
    </xf>
    <xf numFmtId="0" fontId="14" fillId="3" borderId="46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41" fontId="0" fillId="3" borderId="4" xfId="1" applyFont="1" applyFill="1" applyBorder="1" applyAlignment="1">
      <alignment vertical="center"/>
    </xf>
    <xf numFmtId="0" fontId="11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26" fillId="0" borderId="0" xfId="0" applyFont="1">
      <alignment vertical="center"/>
    </xf>
    <xf numFmtId="0" fontId="4" fillId="0" borderId="48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top" wrapText="1"/>
    </xf>
    <xf numFmtId="0" fontId="4" fillId="0" borderId="49" xfId="0" applyFont="1" applyBorder="1" applyAlignment="1">
      <alignment horizontal="center" vertical="center" shrinkToFi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176" fontId="0" fillId="0" borderId="5" xfId="0" applyNumberFormat="1" applyBorder="1" applyAlignment="1">
      <alignment horizontal="center" vertical="center"/>
    </xf>
    <xf numFmtId="0" fontId="27" fillId="3" borderId="18" xfId="0" applyFont="1" applyFill="1" applyBorder="1" applyAlignment="1">
      <alignment horizontal="center" vertical="center" wrapText="1"/>
    </xf>
    <xf numFmtId="20" fontId="5" fillId="0" borderId="10" xfId="0" applyNumberFormat="1" applyFont="1" applyBorder="1" applyAlignment="1">
      <alignment horizontal="center" vertical="center"/>
    </xf>
    <xf numFmtId="20" fontId="5" fillId="0" borderId="4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5" borderId="57" xfId="0" applyFont="1" applyFill="1" applyBorder="1" applyAlignment="1">
      <alignment horizontal="center" vertical="center"/>
    </xf>
    <xf numFmtId="0" fontId="14" fillId="5" borderId="58" xfId="0" applyFont="1" applyFill="1" applyBorder="1" applyAlignment="1">
      <alignment horizontal="center" vertical="center"/>
    </xf>
    <xf numFmtId="177" fontId="15" fillId="0" borderId="7" xfId="0" applyNumberFormat="1" applyFont="1" applyBorder="1" applyAlignment="1">
      <alignment horizontal="center" vertical="center"/>
    </xf>
    <xf numFmtId="177" fontId="15" fillId="0" borderId="55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4" fillId="5" borderId="56" xfId="0" applyFont="1" applyFill="1" applyBorder="1" applyAlignment="1">
      <alignment horizontal="center" vertical="center"/>
    </xf>
    <xf numFmtId="41" fontId="0" fillId="3" borderId="43" xfId="1" applyFont="1" applyFill="1" applyBorder="1" applyAlignment="1">
      <alignment horizontal="center" vertical="center"/>
    </xf>
    <xf numFmtId="41" fontId="0" fillId="3" borderId="40" xfId="1" applyFont="1" applyFill="1" applyBorder="1" applyAlignment="1">
      <alignment horizontal="center" vertical="center"/>
    </xf>
    <xf numFmtId="41" fontId="0" fillId="3" borderId="13" xfId="1" applyFont="1" applyFill="1" applyBorder="1" applyAlignment="1">
      <alignment horizontal="center" vertical="center"/>
    </xf>
    <xf numFmtId="177" fontId="15" fillId="0" borderId="1" xfId="0" applyNumberFormat="1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3" borderId="18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/>
    </xf>
    <xf numFmtId="41" fontId="0" fillId="3" borderId="14" xfId="1" applyFont="1" applyFill="1" applyBorder="1" applyAlignment="1">
      <alignment horizontal="center" vertical="center"/>
    </xf>
    <xf numFmtId="41" fontId="0" fillId="3" borderId="25" xfId="1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3" borderId="37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41" fontId="0" fillId="3" borderId="42" xfId="1" applyFont="1" applyFill="1" applyBorder="1" applyAlignment="1">
      <alignment horizontal="center" vertical="center"/>
    </xf>
    <xf numFmtId="41" fontId="0" fillId="3" borderId="38" xfId="1" applyFont="1" applyFill="1" applyBorder="1" applyAlignment="1">
      <alignment horizontal="center" vertical="center"/>
    </xf>
    <xf numFmtId="41" fontId="0" fillId="3" borderId="28" xfId="1" applyFont="1" applyFill="1" applyBorder="1" applyAlignment="1">
      <alignment horizontal="center" vertical="center"/>
    </xf>
    <xf numFmtId="41" fontId="0" fillId="3" borderId="41" xfId="1" applyFont="1" applyFill="1" applyBorder="1" applyAlignment="1">
      <alignment horizontal="center" vertical="center"/>
    </xf>
    <xf numFmtId="41" fontId="0" fillId="3" borderId="39" xfId="1" applyFont="1" applyFill="1" applyBorder="1" applyAlignment="1">
      <alignment horizontal="center" vertical="center"/>
    </xf>
    <xf numFmtId="41" fontId="0" fillId="3" borderId="30" xfId="1" applyFont="1" applyFill="1" applyBorder="1" applyAlignment="1">
      <alignment horizontal="center" vertical="center"/>
    </xf>
    <xf numFmtId="0" fontId="18" fillId="3" borderId="32" xfId="0" applyFont="1" applyFill="1" applyBorder="1" applyAlignment="1">
      <alignment horizontal="center" vertical="center"/>
    </xf>
    <xf numFmtId="0" fontId="18" fillId="3" borderId="34" xfId="0" applyFont="1" applyFill="1" applyBorder="1" applyAlignment="1">
      <alignment horizontal="center" vertical="center"/>
    </xf>
    <xf numFmtId="41" fontId="0" fillId="3" borderId="27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41" fontId="19" fillId="3" borderId="22" xfId="1" applyFont="1" applyFill="1" applyBorder="1" applyAlignment="1">
      <alignment horizontal="center" vertical="center"/>
    </xf>
    <xf numFmtId="41" fontId="19" fillId="3" borderId="23" xfId="1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left" vertical="center"/>
    </xf>
    <xf numFmtId="41" fontId="5" fillId="3" borderId="22" xfId="0" applyNumberFormat="1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21" fillId="3" borderId="22" xfId="0" applyFont="1" applyFill="1" applyBorder="1" applyAlignment="1">
      <alignment horizontal="left" vertical="center"/>
    </xf>
    <xf numFmtId="0" fontId="21" fillId="3" borderId="23" xfId="0" applyFont="1" applyFill="1" applyBorder="1" applyAlignment="1">
      <alignment horizontal="left" vertical="center"/>
    </xf>
    <xf numFmtId="41" fontId="0" fillId="3" borderId="12" xfId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41" fontId="0" fillId="3" borderId="29" xfId="1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41" fontId="5" fillId="3" borderId="44" xfId="1" applyFont="1" applyFill="1" applyBorder="1" applyAlignment="1">
      <alignment horizontal="center" vertical="center"/>
    </xf>
    <xf numFmtId="41" fontId="5" fillId="3" borderId="23" xfId="1" applyFont="1" applyFill="1" applyBorder="1" applyAlignment="1">
      <alignment horizontal="center" vertical="center"/>
    </xf>
    <xf numFmtId="177" fontId="15" fillId="0" borderId="4" xfId="0" applyNumberFormat="1" applyFont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41" fontId="0" fillId="3" borderId="36" xfId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59" xfId="0" applyFont="1" applyBorder="1" applyAlignment="1">
      <alignment horizontal="center" vertical="center"/>
    </xf>
    <xf numFmtId="0" fontId="12" fillId="0" borderId="60" xfId="0" applyFont="1" applyBorder="1" applyAlignment="1">
      <alignment horizontal="center" vertical="center"/>
    </xf>
    <xf numFmtId="0" fontId="12" fillId="0" borderId="6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24171</xdr:rowOff>
    </xdr:from>
    <xdr:to>
      <xdr:col>4</xdr:col>
      <xdr:colOff>0</xdr:colOff>
      <xdr:row>1</xdr:row>
      <xdr:rowOff>0</xdr:rowOff>
    </xdr:to>
    <xdr:pic>
      <xdr:nvPicPr>
        <xdr:cNvPr id="3" name="그림 2" descr="알펜시아-Main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24171"/>
          <a:ext cx="1638300" cy="5282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view="pageBreakPreview" topLeftCell="A4" zoomScale="120" zoomScaleSheetLayoutView="120" workbookViewId="0">
      <selection activeCell="N10" sqref="N10"/>
    </sheetView>
  </sheetViews>
  <sheetFormatPr defaultRowHeight="16.5" x14ac:dyDescent="0.3"/>
  <cols>
    <col min="1" max="1" width="10.25" customWidth="1"/>
    <col min="2" max="2" width="4.125" customWidth="1"/>
    <col min="3" max="3" width="12.125" customWidth="1"/>
    <col min="4" max="5" width="5" customWidth="1"/>
    <col min="6" max="7" width="9.125" customWidth="1"/>
    <col min="8" max="9" width="5.125" customWidth="1"/>
    <col min="10" max="10" width="7.375" customWidth="1"/>
    <col min="11" max="11" width="12.25" customWidth="1"/>
    <col min="12" max="12" width="8.375" customWidth="1"/>
  </cols>
  <sheetData>
    <row r="1" spans="1:12" s="5" customFormat="1" ht="43.5" customHeight="1" x14ac:dyDescent="0.4">
      <c r="A1" s="3"/>
      <c r="B1" s="4"/>
      <c r="C1" s="4"/>
      <c r="D1" s="3"/>
      <c r="E1" s="137" t="s">
        <v>0</v>
      </c>
      <c r="F1" s="137"/>
      <c r="G1" s="137"/>
      <c r="H1" s="137"/>
      <c r="I1" s="137"/>
      <c r="J1" s="137"/>
      <c r="K1" s="137"/>
      <c r="L1" s="38"/>
    </row>
    <row r="2" spans="1:12" s="5" customFormat="1" ht="27" customHeight="1" x14ac:dyDescent="0.3">
      <c r="A2" s="144" t="s">
        <v>57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22"/>
    </row>
    <row r="3" spans="1:12" x14ac:dyDescent="0.3">
      <c r="A3" s="2" t="s">
        <v>54</v>
      </c>
    </row>
    <row r="4" spans="1:12" ht="6" customHeight="1" thickBot="1" x14ac:dyDescent="0.35"/>
    <row r="5" spans="1:12" ht="18.75" customHeight="1" x14ac:dyDescent="0.3">
      <c r="A5" s="1" t="s">
        <v>1</v>
      </c>
      <c r="B5" s="148" t="s">
        <v>61</v>
      </c>
      <c r="C5" s="148"/>
      <c r="D5" s="148"/>
      <c r="E5" s="148"/>
      <c r="F5" s="25" t="s">
        <v>4</v>
      </c>
      <c r="G5" s="15" t="s">
        <v>58</v>
      </c>
      <c r="H5" s="16">
        <v>2</v>
      </c>
      <c r="I5" s="20" t="s">
        <v>15</v>
      </c>
      <c r="J5" s="16">
        <v>24</v>
      </c>
      <c r="K5" s="21" t="s">
        <v>19</v>
      </c>
      <c r="L5" s="29"/>
    </row>
    <row r="6" spans="1:12" ht="18.75" customHeight="1" thickBot="1" x14ac:dyDescent="0.35">
      <c r="A6" s="56" t="s">
        <v>2</v>
      </c>
      <c r="B6" s="149" t="s">
        <v>62</v>
      </c>
      <c r="C6" s="149"/>
      <c r="D6" s="149"/>
      <c r="E6" s="149"/>
      <c r="F6" s="57" t="s">
        <v>9</v>
      </c>
      <c r="G6" s="145" t="s">
        <v>63</v>
      </c>
      <c r="H6" s="146"/>
      <c r="I6" s="146"/>
      <c r="J6" s="146"/>
      <c r="K6" s="147"/>
      <c r="L6" s="7"/>
    </row>
    <row r="7" spans="1:12" ht="25.5" customHeight="1" thickTop="1" thickBot="1" x14ac:dyDescent="0.35">
      <c r="A7" s="55" t="s">
        <v>3</v>
      </c>
      <c r="B7" s="151" t="s">
        <v>64</v>
      </c>
      <c r="C7" s="151"/>
      <c r="D7" s="151"/>
      <c r="E7" s="151"/>
      <c r="F7" s="65" t="s">
        <v>13</v>
      </c>
      <c r="G7" s="152" t="s">
        <v>65</v>
      </c>
      <c r="H7" s="153"/>
      <c r="I7" s="153"/>
      <c r="J7" s="153"/>
      <c r="K7" s="154"/>
      <c r="L7" s="26"/>
    </row>
    <row r="8" spans="1:12" ht="3.75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ht="20.25" customHeight="1" thickBot="1" x14ac:dyDescent="0.35">
      <c r="A9" s="150" t="s">
        <v>12</v>
      </c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26"/>
    </row>
    <row r="10" spans="1:12" ht="28.5" thickBot="1" x14ac:dyDescent="0.35">
      <c r="A10" s="58" t="s">
        <v>5</v>
      </c>
      <c r="B10" s="59" t="s">
        <v>6</v>
      </c>
      <c r="C10" s="60" t="s">
        <v>47</v>
      </c>
      <c r="D10" s="59" t="s">
        <v>18</v>
      </c>
      <c r="E10" s="59" t="s">
        <v>7</v>
      </c>
      <c r="F10" s="61" t="s">
        <v>17</v>
      </c>
      <c r="G10" s="62" t="s">
        <v>8</v>
      </c>
      <c r="H10" s="111" t="s">
        <v>49</v>
      </c>
      <c r="I10" s="112"/>
      <c r="J10" s="70" t="s">
        <v>48</v>
      </c>
      <c r="K10" s="63" t="s">
        <v>23</v>
      </c>
      <c r="L10" s="30"/>
    </row>
    <row r="11" spans="1:12" ht="19.5" customHeight="1" thickTop="1" x14ac:dyDescent="0.3">
      <c r="A11" s="40">
        <v>46088</v>
      </c>
      <c r="B11" s="18" t="s">
        <v>66</v>
      </c>
      <c r="C11" s="18" t="s">
        <v>67</v>
      </c>
      <c r="D11" s="27">
        <v>1</v>
      </c>
      <c r="E11" s="18">
        <v>4</v>
      </c>
      <c r="F11" s="71">
        <v>0.49791666666666662</v>
      </c>
      <c r="G11" s="10"/>
      <c r="H11" s="113">
        <v>140000</v>
      </c>
      <c r="I11" s="107"/>
      <c r="J11" s="45"/>
      <c r="K11" s="51">
        <f>SUM(((D11*4)*H11)+(E11*J11))</f>
        <v>560000</v>
      </c>
      <c r="L11" s="31"/>
    </row>
    <row r="12" spans="1:12" ht="19.5" customHeight="1" x14ac:dyDescent="0.3">
      <c r="A12" s="41">
        <v>46089</v>
      </c>
      <c r="B12" s="23" t="s">
        <v>19</v>
      </c>
      <c r="C12" s="23" t="s">
        <v>67</v>
      </c>
      <c r="D12" s="6">
        <v>1</v>
      </c>
      <c r="E12" s="18">
        <v>4</v>
      </c>
      <c r="F12" s="72">
        <v>0.45902777777777781</v>
      </c>
      <c r="G12" s="11"/>
      <c r="H12" s="131">
        <v>120000</v>
      </c>
      <c r="I12" s="110"/>
      <c r="J12" s="44"/>
      <c r="K12" s="51">
        <f t="shared" ref="K12:K13" si="0">SUM(((D12*4)*H12)+(E12*J12))</f>
        <v>480000</v>
      </c>
      <c r="L12" s="31"/>
    </row>
    <row r="13" spans="1:12" ht="19.5" customHeight="1" x14ac:dyDescent="0.3">
      <c r="A13" s="41"/>
      <c r="B13" s="23"/>
      <c r="C13" s="23"/>
      <c r="D13" s="6"/>
      <c r="E13" s="23"/>
      <c r="F13" s="28"/>
      <c r="G13" s="11"/>
      <c r="H13" s="131"/>
      <c r="I13" s="110"/>
      <c r="J13" s="44"/>
      <c r="K13" s="51">
        <f t="shared" si="0"/>
        <v>0</v>
      </c>
      <c r="L13" s="31"/>
    </row>
    <row r="14" spans="1:12" ht="19.5" customHeight="1" thickBot="1" x14ac:dyDescent="0.35">
      <c r="A14" s="69"/>
      <c r="B14" s="14"/>
      <c r="C14" s="14"/>
      <c r="D14" s="8"/>
      <c r="E14" s="14"/>
      <c r="F14" s="39"/>
      <c r="G14" s="12"/>
      <c r="H14" s="128"/>
      <c r="I14" s="95"/>
      <c r="J14" s="46"/>
      <c r="K14" s="51">
        <f>SUM(((D14*4)*H14)+(E14*J14))</f>
        <v>0</v>
      </c>
      <c r="L14" s="31"/>
    </row>
    <row r="15" spans="1:12" ht="19.5" customHeight="1" thickBot="1" x14ac:dyDescent="0.35">
      <c r="A15" s="115" t="s">
        <v>25</v>
      </c>
      <c r="B15" s="116"/>
      <c r="C15" s="116"/>
      <c r="D15" s="116"/>
      <c r="E15" s="116"/>
      <c r="F15" s="116"/>
      <c r="G15" s="116"/>
      <c r="H15" s="116"/>
      <c r="I15" s="117"/>
      <c r="J15" s="138">
        <f>SUM(K11:K14)</f>
        <v>1040000</v>
      </c>
      <c r="K15" s="139"/>
      <c r="L15" s="32"/>
    </row>
    <row r="16" spans="1:12" ht="19.5" customHeight="1" x14ac:dyDescent="0.3">
      <c r="A16" s="97" t="s">
        <v>59</v>
      </c>
      <c r="B16" s="97"/>
      <c r="C16" s="97"/>
      <c r="D16" s="97"/>
      <c r="E16" s="97"/>
      <c r="F16" s="97"/>
      <c r="G16" s="97"/>
      <c r="H16" s="97"/>
      <c r="I16" s="97"/>
      <c r="J16" s="97"/>
      <c r="K16" s="97"/>
      <c r="L16" s="33"/>
    </row>
    <row r="17" spans="1:12" ht="3.75" customHeight="1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</row>
    <row r="18" spans="1:12" ht="21" customHeight="1" thickBot="1" x14ac:dyDescent="0.35">
      <c r="A18" s="114" t="s">
        <v>11</v>
      </c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26"/>
    </row>
    <row r="19" spans="1:12" s="9" customFormat="1" ht="28.5" customHeight="1" thickBot="1" x14ac:dyDescent="0.35">
      <c r="A19" s="58" t="s">
        <v>5</v>
      </c>
      <c r="B19" s="59" t="s">
        <v>6</v>
      </c>
      <c r="C19" s="64" t="s">
        <v>27</v>
      </c>
      <c r="D19" s="98" t="s">
        <v>16</v>
      </c>
      <c r="E19" s="99"/>
      <c r="F19" s="61" t="s">
        <v>10</v>
      </c>
      <c r="G19" s="102" t="s">
        <v>22</v>
      </c>
      <c r="H19" s="103"/>
      <c r="I19" s="104"/>
      <c r="J19" s="141" t="s">
        <v>14</v>
      </c>
      <c r="K19" s="142"/>
      <c r="L19" s="34"/>
    </row>
    <row r="20" spans="1:12" ht="20.25" customHeight="1" thickTop="1" x14ac:dyDescent="0.3">
      <c r="A20" s="40">
        <v>46088</v>
      </c>
      <c r="B20" s="18" t="s">
        <v>66</v>
      </c>
      <c r="C20" s="18" t="s">
        <v>68</v>
      </c>
      <c r="D20" s="129" t="s">
        <v>69</v>
      </c>
      <c r="E20" s="130"/>
      <c r="F20" s="19">
        <v>2</v>
      </c>
      <c r="G20" s="105">
        <v>150000</v>
      </c>
      <c r="H20" s="106"/>
      <c r="I20" s="107"/>
      <c r="J20" s="113">
        <f>SUM(F20*G20)</f>
        <v>300000</v>
      </c>
      <c r="K20" s="143"/>
      <c r="L20" s="35"/>
    </row>
    <row r="21" spans="1:12" ht="20.25" customHeight="1" x14ac:dyDescent="0.3">
      <c r="A21" s="40"/>
      <c r="B21" s="18"/>
      <c r="C21" s="18"/>
      <c r="D21" s="134"/>
      <c r="E21" s="135"/>
      <c r="F21" s="19"/>
      <c r="G21" s="108"/>
      <c r="H21" s="109"/>
      <c r="I21" s="110"/>
      <c r="J21" s="100">
        <f>SUM(F21*G21)</f>
        <v>0</v>
      </c>
      <c r="K21" s="101"/>
      <c r="L21" s="35"/>
    </row>
    <row r="22" spans="1:12" ht="20.25" customHeight="1" thickBot="1" x14ac:dyDescent="0.35">
      <c r="A22" s="41"/>
      <c r="B22" s="23"/>
      <c r="C22" s="23"/>
      <c r="D22" s="132"/>
      <c r="E22" s="133"/>
      <c r="F22" s="24"/>
      <c r="G22" s="93"/>
      <c r="H22" s="94"/>
      <c r="I22" s="95"/>
      <c r="J22" s="100">
        <f>SUM(F22*G22)</f>
        <v>0</v>
      </c>
      <c r="K22" s="101"/>
      <c r="L22" s="35"/>
    </row>
    <row r="23" spans="1:12" ht="20.25" customHeight="1" thickBot="1" x14ac:dyDescent="0.35">
      <c r="A23" s="115" t="s">
        <v>21</v>
      </c>
      <c r="B23" s="116"/>
      <c r="C23" s="116"/>
      <c r="D23" s="116"/>
      <c r="E23" s="116"/>
      <c r="F23" s="116"/>
      <c r="G23" s="116"/>
      <c r="H23" s="116"/>
      <c r="I23" s="117"/>
      <c r="J23" s="118">
        <f>SUM(J20:K22)</f>
        <v>300000</v>
      </c>
      <c r="K23" s="119"/>
      <c r="L23" s="36"/>
    </row>
    <row r="24" spans="1:12" ht="15" customHeight="1" x14ac:dyDescent="0.3">
      <c r="A24" s="120" t="s">
        <v>46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36"/>
    </row>
    <row r="25" spans="1:12" ht="15" customHeight="1" thickBot="1" x14ac:dyDescent="0.35">
      <c r="A25" s="42" t="s">
        <v>60</v>
      </c>
      <c r="B25" s="43"/>
      <c r="C25" s="43"/>
      <c r="D25" s="43"/>
      <c r="E25" s="43"/>
      <c r="F25" s="43"/>
      <c r="G25" s="43"/>
      <c r="H25" s="37"/>
      <c r="I25" s="37"/>
      <c r="J25" s="37"/>
      <c r="K25" s="37"/>
      <c r="L25" s="37"/>
    </row>
    <row r="26" spans="1:12" ht="22.9" customHeight="1" thickBot="1" x14ac:dyDescent="0.35">
      <c r="A26" s="123" t="s">
        <v>24</v>
      </c>
      <c r="B26" s="124"/>
      <c r="C26" s="124"/>
      <c r="D26" s="124"/>
      <c r="E26" s="124"/>
      <c r="F26" s="124"/>
      <c r="G26" s="124"/>
      <c r="H26" s="124"/>
      <c r="I26" s="125"/>
      <c r="J26" s="121">
        <f>SUM(J15+J23)</f>
        <v>1340000</v>
      </c>
      <c r="K26" s="122"/>
      <c r="L26" s="37"/>
    </row>
    <row r="27" spans="1:12" ht="15" customHeight="1" thickBot="1" x14ac:dyDescent="0.35">
      <c r="A27" s="47" t="s">
        <v>26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7"/>
      <c r="L27" s="37"/>
    </row>
    <row r="28" spans="1:12" ht="21.6" customHeight="1" thickBot="1" x14ac:dyDescent="0.35">
      <c r="A28" s="114" t="s">
        <v>20</v>
      </c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26"/>
    </row>
    <row r="29" spans="1:12" s="68" customFormat="1" ht="13.15" customHeight="1" thickBot="1" x14ac:dyDescent="0.35">
      <c r="A29" s="92" t="s">
        <v>34</v>
      </c>
      <c r="B29" s="76"/>
      <c r="C29" s="76"/>
      <c r="D29" s="76" t="s">
        <v>39</v>
      </c>
      <c r="E29" s="76"/>
      <c r="F29" s="76"/>
      <c r="G29" s="76"/>
      <c r="H29" s="76" t="s">
        <v>43</v>
      </c>
      <c r="I29" s="76"/>
      <c r="J29" s="76"/>
      <c r="K29" s="77"/>
      <c r="L29" s="66"/>
    </row>
    <row r="30" spans="1:12" s="68" customFormat="1" ht="13.15" customHeight="1" x14ac:dyDescent="0.3">
      <c r="A30" s="86" t="s">
        <v>35</v>
      </c>
      <c r="B30" s="87"/>
      <c r="C30" s="87"/>
      <c r="D30" s="78" t="s">
        <v>40</v>
      </c>
      <c r="E30" s="78"/>
      <c r="F30" s="78"/>
      <c r="G30" s="78"/>
      <c r="H30" s="78" t="s">
        <v>40</v>
      </c>
      <c r="I30" s="78"/>
      <c r="J30" s="78"/>
      <c r="K30" s="79"/>
      <c r="L30" s="67"/>
    </row>
    <row r="31" spans="1:12" s="68" customFormat="1" ht="13.15" customHeight="1" x14ac:dyDescent="0.3">
      <c r="A31" s="88" t="s">
        <v>36</v>
      </c>
      <c r="B31" s="89"/>
      <c r="C31" s="89"/>
      <c r="D31" s="96" t="s">
        <v>41</v>
      </c>
      <c r="E31" s="96"/>
      <c r="F31" s="96"/>
      <c r="G31" s="96"/>
      <c r="H31" s="96" t="s">
        <v>41</v>
      </c>
      <c r="I31" s="96"/>
      <c r="J31" s="96"/>
      <c r="K31" s="140"/>
      <c r="L31" s="67"/>
    </row>
    <row r="32" spans="1:12" s="68" customFormat="1" ht="13.15" customHeight="1" x14ac:dyDescent="0.3">
      <c r="A32" s="88" t="s">
        <v>37</v>
      </c>
      <c r="B32" s="89"/>
      <c r="C32" s="89"/>
      <c r="D32" s="96" t="s">
        <v>42</v>
      </c>
      <c r="E32" s="96"/>
      <c r="F32" s="96"/>
      <c r="G32" s="96"/>
      <c r="H32" s="96" t="s">
        <v>44</v>
      </c>
      <c r="I32" s="96"/>
      <c r="J32" s="96"/>
      <c r="K32" s="140"/>
      <c r="L32" s="67"/>
    </row>
    <row r="33" spans="1:12" s="68" customFormat="1" ht="13.15" customHeight="1" thickBot="1" x14ac:dyDescent="0.35">
      <c r="A33" s="90" t="s">
        <v>38</v>
      </c>
      <c r="B33" s="91"/>
      <c r="C33" s="91"/>
      <c r="D33" s="73" t="s">
        <v>45</v>
      </c>
      <c r="E33" s="74"/>
      <c r="F33" s="74"/>
      <c r="G33" s="74"/>
      <c r="H33" s="74"/>
      <c r="I33" s="74"/>
      <c r="J33" s="74"/>
      <c r="K33" s="75"/>
      <c r="L33" s="67"/>
    </row>
    <row r="34" spans="1:12" s="68" customFormat="1" ht="13.15" customHeight="1" x14ac:dyDescent="0.3">
      <c r="A34" s="80" t="s">
        <v>53</v>
      </c>
      <c r="B34" s="81"/>
      <c r="C34" s="81"/>
      <c r="D34" s="81"/>
      <c r="E34" s="81"/>
      <c r="F34" s="81"/>
      <c r="G34" s="81"/>
      <c r="H34" s="81"/>
      <c r="I34" s="81"/>
      <c r="J34" s="81"/>
      <c r="K34" s="82"/>
      <c r="L34" s="67"/>
    </row>
    <row r="35" spans="1:12" s="68" customFormat="1" ht="13.15" customHeight="1" thickBot="1" x14ac:dyDescent="0.35">
      <c r="A35" s="83" t="s">
        <v>50</v>
      </c>
      <c r="B35" s="84"/>
      <c r="C35" s="84"/>
      <c r="D35" s="84"/>
      <c r="E35" s="84"/>
      <c r="F35" s="84"/>
      <c r="G35" s="84"/>
      <c r="H35" s="84"/>
      <c r="I35" s="84"/>
      <c r="J35" s="84"/>
      <c r="K35" s="85"/>
      <c r="L35" s="67"/>
    </row>
    <row r="36" spans="1:12" ht="6" hidden="1" customHeight="1" x14ac:dyDescent="0.3">
      <c r="A36" s="52" t="s">
        <v>31</v>
      </c>
      <c r="B36" s="53"/>
      <c r="C36" s="53"/>
      <c r="D36" s="53"/>
      <c r="E36" s="53"/>
      <c r="F36" s="53"/>
      <c r="G36" s="49"/>
      <c r="H36" s="49"/>
      <c r="I36" s="49"/>
      <c r="J36" s="49"/>
      <c r="K36" s="49"/>
      <c r="L36" s="13"/>
    </row>
    <row r="37" spans="1:12" ht="6" hidden="1" customHeight="1" x14ac:dyDescent="0.3">
      <c r="A37" s="52" t="s">
        <v>56</v>
      </c>
      <c r="B37" s="53"/>
      <c r="C37" s="53"/>
      <c r="D37" s="53"/>
      <c r="E37" s="53"/>
      <c r="F37" s="53"/>
      <c r="G37" s="49"/>
      <c r="H37" s="49"/>
      <c r="I37" s="49"/>
      <c r="J37" s="49"/>
      <c r="K37" s="49"/>
      <c r="L37" s="13"/>
    </row>
    <row r="38" spans="1:12" s="13" customFormat="1" ht="6" hidden="1" customHeight="1" x14ac:dyDescent="0.3">
      <c r="A38" s="52" t="s">
        <v>32</v>
      </c>
      <c r="B38" s="53"/>
      <c r="C38" s="53"/>
      <c r="D38" s="53"/>
      <c r="E38" s="53"/>
      <c r="F38" s="53"/>
      <c r="G38" s="49"/>
      <c r="H38" s="49"/>
      <c r="I38" s="49"/>
      <c r="J38" s="49"/>
      <c r="K38" s="49"/>
    </row>
    <row r="39" spans="1:12" s="13" customFormat="1" ht="6" hidden="1" customHeight="1" x14ac:dyDescent="0.3">
      <c r="A39" s="52" t="s">
        <v>33</v>
      </c>
      <c r="B39" s="54"/>
      <c r="C39" s="54"/>
      <c r="D39" s="54"/>
      <c r="E39" s="54"/>
      <c r="F39" s="54"/>
      <c r="G39" s="50"/>
      <c r="H39" s="50"/>
      <c r="I39" s="50"/>
      <c r="J39" s="50"/>
      <c r="K39" s="50"/>
      <c r="L39"/>
    </row>
    <row r="40" spans="1:12" s="13" customFormat="1" ht="6" hidden="1" customHeight="1" x14ac:dyDescent="0.3">
      <c r="A40" s="52" t="s">
        <v>55</v>
      </c>
      <c r="B40" s="53"/>
      <c r="C40" s="53"/>
      <c r="D40" s="53"/>
      <c r="E40" s="53"/>
      <c r="F40" s="53"/>
      <c r="G40" s="49"/>
      <c r="H40" s="49"/>
      <c r="I40" s="49"/>
      <c r="J40" s="49"/>
      <c r="K40" s="49"/>
    </row>
    <row r="41" spans="1:12" s="13" customFormat="1" ht="6" hidden="1" customHeight="1" x14ac:dyDescent="0.3">
      <c r="A41" s="48" t="s">
        <v>51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</row>
    <row r="42" spans="1:12" ht="6" hidden="1" customHeight="1" x14ac:dyDescent="0.3">
      <c r="A42" s="48" t="s">
        <v>28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</row>
    <row r="43" spans="1:12" ht="6" hidden="1" customHeight="1" x14ac:dyDescent="0.3">
      <c r="A43" s="48" t="s">
        <v>52</v>
      </c>
      <c r="B43" s="50"/>
      <c r="C43" s="50"/>
      <c r="D43" s="50"/>
      <c r="E43" s="50"/>
      <c r="F43" s="50"/>
      <c r="G43" s="50"/>
      <c r="H43" s="50"/>
      <c r="I43" s="50"/>
      <c r="J43" s="50"/>
      <c r="K43" s="50"/>
    </row>
    <row r="44" spans="1:12" ht="6" hidden="1" customHeight="1" x14ac:dyDescent="0.3">
      <c r="A44" s="48" t="s">
        <v>29</v>
      </c>
      <c r="B44" s="50"/>
      <c r="C44" s="50"/>
      <c r="D44" s="50"/>
      <c r="E44" s="50"/>
      <c r="F44" s="50"/>
      <c r="G44" s="50"/>
      <c r="H44" s="50"/>
      <c r="I44" s="50"/>
      <c r="J44" s="50"/>
      <c r="K44" s="50"/>
    </row>
    <row r="45" spans="1:12" ht="10.15" customHeight="1" x14ac:dyDescent="0.3">
      <c r="A45" s="136" t="s">
        <v>30</v>
      </c>
      <c r="B45" s="136"/>
      <c r="C45" s="136"/>
      <c r="D45" s="136"/>
      <c r="E45" s="136"/>
      <c r="F45" s="136"/>
      <c r="G45" s="136"/>
      <c r="H45" s="136"/>
      <c r="I45" s="136"/>
      <c r="J45" s="136"/>
      <c r="K45" s="136"/>
    </row>
  </sheetData>
  <mergeCells count="53">
    <mergeCell ref="A45:K45"/>
    <mergeCell ref="E1:K1"/>
    <mergeCell ref="J15:K15"/>
    <mergeCell ref="A15:I15"/>
    <mergeCell ref="H31:K31"/>
    <mergeCell ref="H32:K32"/>
    <mergeCell ref="J19:K19"/>
    <mergeCell ref="J20:K20"/>
    <mergeCell ref="J22:K22"/>
    <mergeCell ref="A2:K2"/>
    <mergeCell ref="G6:K6"/>
    <mergeCell ref="B5:E5"/>
    <mergeCell ref="B6:E6"/>
    <mergeCell ref="A9:K9"/>
    <mergeCell ref="B7:E7"/>
    <mergeCell ref="G7:K7"/>
    <mergeCell ref="H10:I10"/>
    <mergeCell ref="H11:I11"/>
    <mergeCell ref="A18:K18"/>
    <mergeCell ref="A28:K28"/>
    <mergeCell ref="A23:I23"/>
    <mergeCell ref="J23:K23"/>
    <mergeCell ref="A24:K24"/>
    <mergeCell ref="J26:K26"/>
    <mergeCell ref="A26:I26"/>
    <mergeCell ref="B27:K27"/>
    <mergeCell ref="H14:I14"/>
    <mergeCell ref="D20:E20"/>
    <mergeCell ref="H12:I12"/>
    <mergeCell ref="H13:I13"/>
    <mergeCell ref="D22:E22"/>
    <mergeCell ref="D21:E21"/>
    <mergeCell ref="A16:K16"/>
    <mergeCell ref="D19:E19"/>
    <mergeCell ref="J21:K21"/>
    <mergeCell ref="G19:I19"/>
    <mergeCell ref="G20:I20"/>
    <mergeCell ref="G21:I21"/>
    <mergeCell ref="G22:I22"/>
    <mergeCell ref="D29:G29"/>
    <mergeCell ref="D30:G30"/>
    <mergeCell ref="D31:G31"/>
    <mergeCell ref="D32:G32"/>
    <mergeCell ref="D33:K33"/>
    <mergeCell ref="H29:K29"/>
    <mergeCell ref="H30:K30"/>
    <mergeCell ref="A34:K34"/>
    <mergeCell ref="A35:K35"/>
    <mergeCell ref="A30:C30"/>
    <mergeCell ref="A31:C31"/>
    <mergeCell ref="A32:C32"/>
    <mergeCell ref="A33:C33"/>
    <mergeCell ref="A29:C29"/>
  </mergeCells>
  <phoneticPr fontId="2" type="noConversion"/>
  <pageMargins left="0.78740157480314965" right="0.82677165354330717" top="0.94488188976377963" bottom="1.0629921259842521" header="0.31496062992125984" footer="0.31496062992125984"/>
  <pageSetup paperSize="9" scale="9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예약신청서</vt:lpstr>
      <vt:lpstr>예약신청서!Print_Area</vt:lpstr>
    </vt:vector>
  </TitlesOfParts>
  <Company>강원도개발공사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강원도개발공사</dc:creator>
  <cp:lastModifiedBy>Jjjj Choi</cp:lastModifiedBy>
  <cp:lastPrinted>2026-02-24T01:38:07Z</cp:lastPrinted>
  <dcterms:created xsi:type="dcterms:W3CDTF">2012-06-25T11:57:34Z</dcterms:created>
  <dcterms:modified xsi:type="dcterms:W3CDTF">2026-04-17T01:33:39Z</dcterms:modified>
</cp:coreProperties>
</file>